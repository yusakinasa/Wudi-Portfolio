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7"/>
  <workbookPr/>
  <mc:AlternateContent xmlns:mc="http://schemas.openxmlformats.org/markup-compatibility/2006">
    <mc:Choice Requires="x15">
      <x15ac:absPath xmlns:x15ac="http://schemas.microsoft.com/office/spreadsheetml/2010/11/ac" url="/Users/wudi/Documents/"/>
    </mc:Choice>
  </mc:AlternateContent>
  <xr:revisionPtr revIDLastSave="0" documentId="13_ncr:1_{E13EC60C-2FEC-8B4D-ADC3-1C3DC6074B59}" xr6:coauthVersionLast="47" xr6:coauthVersionMax="47" xr10:uidLastSave="{00000000-0000-0000-0000-000000000000}"/>
  <bookViews>
    <workbookView xWindow="4420" yWindow="660" windowWidth="24980" windowHeight="14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" i="1" l="1"/>
  <c r="K36" i="1"/>
  <c r="L36" i="1"/>
  <c r="I36" i="1"/>
  <c r="K35" i="1"/>
  <c r="J35" i="1"/>
  <c r="I35" i="1"/>
  <c r="K34" i="1"/>
  <c r="J34" i="1"/>
  <c r="I34" i="1"/>
  <c r="D34" i="1"/>
  <c r="C34" i="1"/>
  <c r="B34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E12" i="1"/>
  <c r="L11" i="1"/>
  <c r="E11" i="1"/>
  <c r="L10" i="1"/>
  <c r="E10" i="1"/>
  <c r="L9" i="1"/>
  <c r="E9" i="1"/>
  <c r="L8" i="1"/>
  <c r="E8" i="1"/>
  <c r="L7" i="1"/>
  <c r="E7" i="1"/>
  <c r="L6" i="1"/>
  <c r="E6" i="1"/>
  <c r="L5" i="1"/>
  <c r="E5" i="1"/>
  <c r="L4" i="1"/>
  <c r="E4" i="1"/>
  <c r="E34" i="1" s="1"/>
  <c r="E36" i="1" s="1"/>
  <c r="L3" i="1"/>
  <c r="D36" i="1" l="1"/>
  <c r="D35" i="1"/>
  <c r="C36" i="1"/>
  <c r="C35" i="1"/>
  <c r="B36" i="1"/>
  <c r="B35" i="1"/>
  <c r="L34" i="1"/>
</calcChain>
</file>

<file path=xl/sharedStrings.xml><?xml version="1.0" encoding="utf-8"?>
<sst xmlns="http://schemas.openxmlformats.org/spreadsheetml/2006/main" count="28" uniqueCount="21">
  <si>
    <t>日期</t>
  </si>
  <si>
    <t>餐饮</t>
  </si>
  <si>
    <t>交通</t>
  </si>
  <si>
    <t>其他</t>
  </si>
  <si>
    <t>总计</t>
  </si>
  <si>
    <t>备注</t>
  </si>
  <si>
    <t>椰子鸡</t>
  </si>
  <si>
    <t>聚餐</t>
  </si>
  <si>
    <t>打车回学校</t>
  </si>
  <si>
    <t>充gpt</t>
  </si>
  <si>
    <t>充值猪脚饭</t>
  </si>
  <si>
    <t>武汉通</t>
  </si>
  <si>
    <t>kfc</t>
  </si>
  <si>
    <t>零食很忙</t>
  </si>
  <si>
    <t>烤肉自助</t>
  </si>
  <si>
    <t>数模庆功宴</t>
  </si>
  <si>
    <t>占比</t>
  </si>
  <si>
    <t>平均</t>
  </si>
  <si>
    <t>导师请吃饭</t>
    <phoneticPr fontId="3" type="noConversion"/>
  </si>
  <si>
    <t>回洪湖</t>
    <phoneticPr fontId="3" type="noConversion"/>
  </si>
  <si>
    <t>已回洪湖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</si>
</sst>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4" fontId="0" fillId="0" borderId="0" xfId="0" applyNumberFormat="1">
      <alignment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0" xfId="0" applyNumberFormat="1" applyFont="1">
      <alignment vertical="center"/>
    </xf>
    <xf numFmtId="0" fontId="2" fillId="0" borderId="0" xfId="0" applyFont="1">
      <alignment vertical="center"/>
    </xf>
    <xf numFmtId="57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topLeftCell="A16" workbookViewId="0">
      <selection activeCell="L39" sqref="L39"/>
    </sheetView>
  </sheetViews>
  <sheetFormatPr baseColWidth="10" defaultColWidth="11" defaultRowHeight="16"/>
  <cols>
    <col min="1" max="1" width="11.33203125" style="1" customWidth="1"/>
    <col min="6" max="6" width="12" customWidth="1"/>
    <col min="13" max="13" width="16.33203125" customWidth="1"/>
  </cols>
  <sheetData>
    <row r="1" spans="1:1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H1" s="2" t="s">
        <v>0</v>
      </c>
      <c r="I1" s="3" t="s">
        <v>1</v>
      </c>
      <c r="J1" s="3" t="s">
        <v>2</v>
      </c>
      <c r="K1" s="3" t="s">
        <v>3</v>
      </c>
      <c r="L1" s="3" t="s">
        <v>4</v>
      </c>
      <c r="M1" s="3" t="s">
        <v>5</v>
      </c>
    </row>
    <row r="2" spans="1:13">
      <c r="A2" s="8">
        <v>46235</v>
      </c>
      <c r="B2" s="8"/>
      <c r="C2" s="8"/>
      <c r="D2" s="8"/>
      <c r="E2" s="8"/>
      <c r="F2" s="8"/>
      <c r="H2" s="8">
        <v>46266</v>
      </c>
      <c r="I2" s="8"/>
      <c r="J2" s="8"/>
      <c r="K2" s="8"/>
      <c r="L2" s="8"/>
      <c r="M2" s="8"/>
    </row>
    <row r="3" spans="1:13">
      <c r="A3" s="4">
        <v>46256</v>
      </c>
      <c r="B3" s="5">
        <v>15</v>
      </c>
      <c r="C3" s="5">
        <v>11</v>
      </c>
      <c r="D3" s="5">
        <v>15</v>
      </c>
      <c r="E3" s="5">
        <v>41</v>
      </c>
      <c r="F3" s="5"/>
      <c r="H3" s="4">
        <v>46266</v>
      </c>
      <c r="I3" s="5">
        <v>7</v>
      </c>
      <c r="K3">
        <v>16</v>
      </c>
      <c r="L3">
        <f>SUM(I3:K3)</f>
        <v>23</v>
      </c>
    </row>
    <row r="4" spans="1:13">
      <c r="A4" s="4">
        <v>46257</v>
      </c>
      <c r="B4" s="5">
        <v>31</v>
      </c>
      <c r="C4" s="5">
        <v>20</v>
      </c>
      <c r="D4" s="5">
        <v>25</v>
      </c>
      <c r="E4" s="5">
        <f>SUM(B4:D4)</f>
        <v>76</v>
      </c>
      <c r="F4" s="5"/>
      <c r="H4" s="4">
        <v>46267</v>
      </c>
      <c r="I4">
        <v>46</v>
      </c>
      <c r="K4">
        <v>4</v>
      </c>
      <c r="L4">
        <f t="shared" ref="L4:L32" si="0">SUM(I4:K4)</f>
        <v>50</v>
      </c>
    </row>
    <row r="5" spans="1:13">
      <c r="A5" s="4">
        <v>46258</v>
      </c>
      <c r="B5" s="5">
        <v>47</v>
      </c>
      <c r="C5" s="5">
        <v>12</v>
      </c>
      <c r="D5" s="5"/>
      <c r="E5" s="5">
        <f t="shared" ref="E5:E12" si="1">SUM(B5:D5)</f>
        <v>59</v>
      </c>
      <c r="F5" s="5"/>
      <c r="H5" s="4">
        <v>46268</v>
      </c>
      <c r="I5">
        <v>20</v>
      </c>
      <c r="K5">
        <v>9</v>
      </c>
      <c r="L5">
        <f t="shared" si="0"/>
        <v>29</v>
      </c>
    </row>
    <row r="6" spans="1:13">
      <c r="A6" s="4">
        <v>46259</v>
      </c>
      <c r="B6" s="5">
        <v>14</v>
      </c>
      <c r="C6" s="5"/>
      <c r="D6" s="5"/>
      <c r="E6" s="5">
        <f t="shared" si="1"/>
        <v>14</v>
      </c>
      <c r="F6" s="5"/>
      <c r="H6" s="4">
        <v>46269</v>
      </c>
      <c r="I6">
        <v>239</v>
      </c>
      <c r="J6">
        <v>4</v>
      </c>
      <c r="L6">
        <f t="shared" si="0"/>
        <v>243</v>
      </c>
      <c r="M6" t="s">
        <v>6</v>
      </c>
    </row>
    <row r="7" spans="1:13">
      <c r="A7" s="4">
        <v>46260</v>
      </c>
      <c r="B7" s="5">
        <v>140</v>
      </c>
      <c r="C7" s="5">
        <v>6</v>
      </c>
      <c r="D7" s="5"/>
      <c r="E7" s="5">
        <f t="shared" si="1"/>
        <v>146</v>
      </c>
      <c r="F7" s="5" t="s">
        <v>7</v>
      </c>
      <c r="H7" s="4">
        <v>46270</v>
      </c>
      <c r="I7">
        <v>2</v>
      </c>
      <c r="J7">
        <v>4</v>
      </c>
      <c r="K7">
        <v>50</v>
      </c>
      <c r="L7">
        <f t="shared" si="0"/>
        <v>56</v>
      </c>
    </row>
    <row r="8" spans="1:13">
      <c r="A8" s="4">
        <v>46261</v>
      </c>
      <c r="B8" s="5">
        <v>21</v>
      </c>
      <c r="C8" s="5"/>
      <c r="D8" s="5">
        <v>20</v>
      </c>
      <c r="E8" s="5">
        <f t="shared" si="1"/>
        <v>41</v>
      </c>
      <c r="F8" s="5"/>
      <c r="H8" s="4">
        <v>46271</v>
      </c>
      <c r="I8">
        <v>13</v>
      </c>
      <c r="J8">
        <v>12</v>
      </c>
      <c r="K8">
        <v>2</v>
      </c>
      <c r="L8">
        <f t="shared" si="0"/>
        <v>27</v>
      </c>
    </row>
    <row r="9" spans="1:13">
      <c r="A9" s="4">
        <v>46262</v>
      </c>
      <c r="B9" s="5">
        <v>32</v>
      </c>
      <c r="C9" s="5">
        <v>67</v>
      </c>
      <c r="D9" s="5">
        <v>97</v>
      </c>
      <c r="E9" s="5">
        <f t="shared" si="1"/>
        <v>196</v>
      </c>
      <c r="F9" s="5" t="s">
        <v>8</v>
      </c>
      <c r="H9" s="4">
        <v>46272</v>
      </c>
      <c r="I9">
        <v>54</v>
      </c>
      <c r="J9">
        <v>1</v>
      </c>
      <c r="K9">
        <v>195</v>
      </c>
      <c r="L9">
        <f t="shared" si="0"/>
        <v>250</v>
      </c>
      <c r="M9" t="s">
        <v>9</v>
      </c>
    </row>
    <row r="10" spans="1:13">
      <c r="A10" s="4">
        <v>46263</v>
      </c>
      <c r="B10" s="5">
        <v>66</v>
      </c>
      <c r="C10" s="5">
        <v>34</v>
      </c>
      <c r="D10" s="5"/>
      <c r="E10" s="5">
        <f t="shared" si="1"/>
        <v>100</v>
      </c>
      <c r="F10" s="5"/>
      <c r="H10" s="4">
        <v>46273</v>
      </c>
      <c r="I10">
        <v>101</v>
      </c>
      <c r="K10">
        <v>2</v>
      </c>
      <c r="L10">
        <f t="shared" si="0"/>
        <v>103</v>
      </c>
      <c r="M10" t="s">
        <v>10</v>
      </c>
    </row>
    <row r="11" spans="1:13">
      <c r="A11" s="4">
        <v>46264</v>
      </c>
      <c r="B11" s="5">
        <v>16</v>
      </c>
      <c r="C11" s="5"/>
      <c r="D11" s="5">
        <v>10</v>
      </c>
      <c r="E11" s="5">
        <f t="shared" si="1"/>
        <v>26</v>
      </c>
      <c r="F11" s="5"/>
      <c r="H11" s="4">
        <v>46274</v>
      </c>
      <c r="I11">
        <v>50</v>
      </c>
      <c r="K11">
        <v>11</v>
      </c>
      <c r="L11">
        <f t="shared" si="0"/>
        <v>61</v>
      </c>
    </row>
    <row r="12" spans="1:13">
      <c r="A12" s="4">
        <v>46265</v>
      </c>
      <c r="B12" s="5">
        <v>28</v>
      </c>
      <c r="C12" s="5">
        <v>31</v>
      </c>
      <c r="E12" s="5">
        <f t="shared" si="1"/>
        <v>59</v>
      </c>
      <c r="H12" s="4">
        <v>46275</v>
      </c>
      <c r="I12">
        <v>29</v>
      </c>
      <c r="J12">
        <v>52</v>
      </c>
      <c r="L12">
        <f t="shared" si="0"/>
        <v>81</v>
      </c>
      <c r="M12" t="s">
        <v>11</v>
      </c>
    </row>
    <row r="13" spans="1:13">
      <c r="H13" s="4">
        <v>46276</v>
      </c>
      <c r="I13">
        <v>83</v>
      </c>
      <c r="L13">
        <f t="shared" si="0"/>
        <v>83</v>
      </c>
      <c r="M13" t="s">
        <v>12</v>
      </c>
    </row>
    <row r="14" spans="1:13">
      <c r="H14" s="4">
        <v>46277</v>
      </c>
      <c r="I14">
        <v>7</v>
      </c>
      <c r="L14">
        <f t="shared" si="0"/>
        <v>7</v>
      </c>
    </row>
    <row r="15" spans="1:13">
      <c r="H15" s="4">
        <v>46278</v>
      </c>
      <c r="I15">
        <v>38</v>
      </c>
      <c r="J15">
        <v>1</v>
      </c>
      <c r="K15">
        <v>4</v>
      </c>
      <c r="L15">
        <f t="shared" si="0"/>
        <v>43</v>
      </c>
    </row>
    <row r="16" spans="1:13">
      <c r="H16" s="4">
        <v>46279</v>
      </c>
      <c r="I16">
        <v>0</v>
      </c>
      <c r="J16">
        <v>0</v>
      </c>
      <c r="K16">
        <v>0</v>
      </c>
      <c r="L16">
        <f t="shared" si="0"/>
        <v>0</v>
      </c>
    </row>
    <row r="17" spans="8:13">
      <c r="H17" s="4">
        <v>46280</v>
      </c>
      <c r="I17">
        <v>53</v>
      </c>
      <c r="L17">
        <f t="shared" si="0"/>
        <v>53</v>
      </c>
    </row>
    <row r="18" spans="8:13">
      <c r="H18" s="4">
        <v>46281</v>
      </c>
      <c r="I18">
        <v>63</v>
      </c>
      <c r="J18">
        <v>22</v>
      </c>
      <c r="K18">
        <v>2</v>
      </c>
      <c r="L18">
        <f t="shared" si="0"/>
        <v>87</v>
      </c>
    </row>
    <row r="19" spans="8:13">
      <c r="H19" s="4">
        <v>46282</v>
      </c>
      <c r="I19">
        <v>18</v>
      </c>
      <c r="J19">
        <v>1</v>
      </c>
      <c r="L19">
        <f t="shared" si="0"/>
        <v>19</v>
      </c>
    </row>
    <row r="20" spans="8:13">
      <c r="H20" s="4">
        <v>46283</v>
      </c>
      <c r="I20">
        <v>40</v>
      </c>
      <c r="J20">
        <v>2</v>
      </c>
      <c r="K20">
        <v>3</v>
      </c>
      <c r="L20">
        <f t="shared" si="0"/>
        <v>45</v>
      </c>
      <c r="M20" t="s">
        <v>13</v>
      </c>
    </row>
    <row r="21" spans="8:13">
      <c r="H21" s="4">
        <v>46284</v>
      </c>
      <c r="I21">
        <v>2</v>
      </c>
      <c r="L21">
        <f t="shared" si="0"/>
        <v>2</v>
      </c>
    </row>
    <row r="22" spans="8:13">
      <c r="H22" s="4">
        <v>46285</v>
      </c>
      <c r="I22">
        <v>30</v>
      </c>
      <c r="K22">
        <v>3</v>
      </c>
      <c r="L22">
        <f t="shared" si="0"/>
        <v>33</v>
      </c>
    </row>
    <row r="23" spans="8:13">
      <c r="H23" s="4">
        <v>46286</v>
      </c>
      <c r="I23">
        <v>33</v>
      </c>
      <c r="L23">
        <f t="shared" si="0"/>
        <v>33</v>
      </c>
    </row>
    <row r="24" spans="8:13">
      <c r="H24" s="4">
        <v>46287</v>
      </c>
      <c r="I24">
        <v>30</v>
      </c>
      <c r="K24">
        <v>1</v>
      </c>
      <c r="L24">
        <f t="shared" si="0"/>
        <v>31</v>
      </c>
    </row>
    <row r="25" spans="8:13">
      <c r="H25" s="4">
        <v>46288</v>
      </c>
      <c r="I25">
        <v>23</v>
      </c>
      <c r="K25">
        <v>3</v>
      </c>
      <c r="L25">
        <f t="shared" si="0"/>
        <v>26</v>
      </c>
    </row>
    <row r="26" spans="8:13">
      <c r="H26" s="4">
        <v>46289</v>
      </c>
      <c r="I26">
        <v>52</v>
      </c>
      <c r="K26">
        <v>2</v>
      </c>
      <c r="L26">
        <f t="shared" si="0"/>
        <v>54</v>
      </c>
    </row>
    <row r="27" spans="8:13">
      <c r="H27" s="4">
        <v>46290</v>
      </c>
      <c r="I27">
        <v>165</v>
      </c>
      <c r="J27">
        <v>13</v>
      </c>
      <c r="L27">
        <f t="shared" si="0"/>
        <v>178</v>
      </c>
      <c r="M27" t="s">
        <v>14</v>
      </c>
    </row>
    <row r="28" spans="8:13">
      <c r="H28" s="4">
        <v>46291</v>
      </c>
      <c r="I28">
        <v>62</v>
      </c>
      <c r="L28">
        <f t="shared" si="0"/>
        <v>62</v>
      </c>
    </row>
    <row r="29" spans="8:13">
      <c r="H29" s="4">
        <v>46292</v>
      </c>
      <c r="I29">
        <v>87</v>
      </c>
      <c r="J29">
        <v>25</v>
      </c>
      <c r="L29">
        <f t="shared" si="0"/>
        <v>112</v>
      </c>
      <c r="M29" t="s">
        <v>15</v>
      </c>
    </row>
    <row r="30" spans="8:13">
      <c r="H30" s="4">
        <v>46293</v>
      </c>
      <c r="I30">
        <v>11</v>
      </c>
      <c r="J30">
        <v>23</v>
      </c>
      <c r="L30">
        <f t="shared" si="0"/>
        <v>34</v>
      </c>
      <c r="M30" s="7" t="s">
        <v>18</v>
      </c>
    </row>
    <row r="31" spans="8:13">
      <c r="H31" s="4">
        <v>46294</v>
      </c>
      <c r="J31">
        <v>104</v>
      </c>
      <c r="L31">
        <f t="shared" si="0"/>
        <v>104</v>
      </c>
      <c r="M31" s="7" t="s">
        <v>19</v>
      </c>
    </row>
    <row r="32" spans="8:13">
      <c r="H32" s="4">
        <v>46295</v>
      </c>
      <c r="I32">
        <v>9</v>
      </c>
      <c r="K32">
        <v>20</v>
      </c>
      <c r="L32">
        <f t="shared" si="0"/>
        <v>29</v>
      </c>
      <c r="M32" s="7" t="s">
        <v>20</v>
      </c>
    </row>
    <row r="34" spans="1:12">
      <c r="A34" s="6" t="s">
        <v>4</v>
      </c>
      <c r="B34">
        <f>SUM(B3:B33)</f>
        <v>410</v>
      </c>
      <c r="C34">
        <f t="shared" ref="C34:L34" si="2">SUM(C3:C33)</f>
        <v>181</v>
      </c>
      <c r="D34">
        <f t="shared" si="2"/>
        <v>167</v>
      </c>
      <c r="E34">
        <f t="shared" si="2"/>
        <v>758</v>
      </c>
      <c r="I34">
        <f>SUM(I3:I33)</f>
        <v>1367</v>
      </c>
      <c r="J34">
        <f t="shared" si="2"/>
        <v>264</v>
      </c>
      <c r="K34">
        <f t="shared" si="2"/>
        <v>327</v>
      </c>
      <c r="L34">
        <f t="shared" si="2"/>
        <v>1958</v>
      </c>
    </row>
    <row r="35" spans="1:12">
      <c r="A35" s="6" t="s">
        <v>16</v>
      </c>
      <c r="B35">
        <f>B34/E34</f>
        <v>0.54089709762532978</v>
      </c>
      <c r="C35">
        <f>C34/E34</f>
        <v>0.23878627968337732</v>
      </c>
      <c r="D35">
        <f>D34/E34</f>
        <v>0.22031662269129287</v>
      </c>
      <c r="I35">
        <f>I34/L34</f>
        <v>0.69816138917262516</v>
      </c>
      <c r="J35">
        <f>J34/L34</f>
        <v>0.1348314606741573</v>
      </c>
      <c r="K35">
        <f>K34/L34</f>
        <v>0.16700715015321757</v>
      </c>
    </row>
    <row r="36" spans="1:12">
      <c r="A36" s="6" t="s">
        <v>17</v>
      </c>
      <c r="B36">
        <f>B34/10</f>
        <v>41</v>
      </c>
      <c r="C36">
        <f t="shared" ref="C36:E36" si="3">C34/10</f>
        <v>18.100000000000001</v>
      </c>
      <c r="D36">
        <f t="shared" si="3"/>
        <v>16.7</v>
      </c>
      <c r="E36">
        <f t="shared" si="3"/>
        <v>75.8</v>
      </c>
      <c r="I36">
        <f>I34/30</f>
        <v>45.56666666666667</v>
      </c>
      <c r="J36">
        <f t="shared" ref="J36:L36" si="4">J34/30</f>
        <v>8.8000000000000007</v>
      </c>
      <c r="K36">
        <f t="shared" si="4"/>
        <v>10.9</v>
      </c>
      <c r="L36">
        <f t="shared" si="4"/>
        <v>65.266666666666666</v>
      </c>
    </row>
  </sheetData>
  <mergeCells count="2">
    <mergeCell ref="A2:F2"/>
    <mergeCell ref="H2:M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唯一 屈</dc:creator>
  <cp:lastModifiedBy>唯一 屈</cp:lastModifiedBy>
  <dcterms:created xsi:type="dcterms:W3CDTF">2026-08-30T19:23:00Z</dcterms:created>
  <dcterms:modified xsi:type="dcterms:W3CDTF">2026-10-01T07:11:26Z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DE683D4D20758F8F1D34B96A9B28664D_42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